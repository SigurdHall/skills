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vedtall" sheetId="1" state="visible" r:id="rId1"/>
    <sheet xmlns:r="http://schemas.openxmlformats.org/officeDocument/2006/relationships" name="Budsjettløp" sheetId="2" state="visible" r:id="rId2"/>
    <sheet xmlns:r="http://schemas.openxmlformats.org/officeDocument/2006/relationships" name="Hovedposter" sheetId="3" state="visible" r:id="rId3"/>
    <sheet xmlns:r="http://schemas.openxmlformats.org/officeDocument/2006/relationships" name="Resultat" sheetId="4" state="visible" r:id="rId4"/>
    <sheet xmlns:r="http://schemas.openxmlformats.org/officeDocument/2006/relationships" name="Sektor" sheetId="5" state="visible" r:id="rId5"/>
    <sheet xmlns:r="http://schemas.openxmlformats.org/officeDocument/2006/relationships" name="Satser" sheetId="6" state="visible" r:id="rId6"/>
    <sheet xmlns:r="http://schemas.openxmlformats.org/officeDocument/2006/relationships" name="Kilder" sheetId="7" state="visible" r:id="rId7"/>
    <sheet xmlns:r="http://schemas.openxmlformats.org/officeDocument/2006/relationships" name="_meta" sheetId="8" state="hidden" r:id="rId8"/>
  </sheets>
  <definedNames>
    <definedName name="budsjettloep_merknad">'Budsjettløp'!$B$13</definedName>
    <definedName name="budsjettloep_overskrift">'Budsjettløp'!$B$5</definedName>
    <definedName name="budsjettloep_start">'Budsjettløp'!$B$6</definedName>
    <definedName name="hovedposter_kontroll">'Hovedposter'!$D$20</definedName>
    <definedName name="hovedposter_overskrift">'Hovedposter'!$B$5</definedName>
    <definedName name="hovedposter_rnb_forslag">'Hovedposter'!$C$24</definedName>
    <definedName name="hovedposter_rnb_nominell">'Hovedposter'!$C$25</definedName>
    <definedName name="hovedposter_rnb_realvekst">'Hovedposter'!$C$26</definedName>
    <definedName name="hovedposter_rnb_utgangspunkt">'Hovedposter'!$C$23</definedName>
    <definedName name="hovedposter_start">'Hovedposter'!$B$6</definedName>
    <definedName name="hovedposter_sum">'Hovedposter'!$D$19</definedName>
    <definedName name="hovedtall_endring">'Hovedtall'!$C$8</definedName>
    <definedName name="hovedtall_etikett_forslag">'Hovedtall'!$B$7</definedName>
    <definedName name="hovedtall_etikett_utgangspunkt">'Hovedtall'!$B$6</definedName>
    <definedName name="hovedtall_forslag">'Hovedtall'!$C$7</definedName>
    <definedName name="hovedtall_nominell">'Hovedtall'!$C$9</definedName>
    <definedName name="hovedtall_prisavvik">'Hovedtall'!$C$17</definedName>
    <definedName name="hovedtall_prisjustering">'Hovedtall'!$C$15</definedName>
    <definedName name="hovedtall_prissats">'Hovedtall'!$C$10</definedName>
    <definedName name="hovedtall_realvekst_a">'Hovedtall'!$C$19</definedName>
    <definedName name="hovedtall_realvekst_a_rnb">'Hovedtall'!$C$20</definedName>
    <definedName name="hovedtall_realvekst_b">'Hovedtall'!$C$11</definedName>
    <definedName name="hovedtall_realvekst_b_rnb">'Hovedtall'!$C$12</definedName>
    <definedName name="hovedtall_realvekst_b_rnb_varig">'Hovedtall'!$C$21</definedName>
    <definedName name="hovedtall_ren_sats">'Hovedtall'!$C$18</definedName>
    <definedName name="hovedtall_rnb">'Hovedtall'!$C$23</definedName>
    <definedName name="hovedtall_rnb_regime">'Hovedtall'!$C$22</definedName>
    <definedName name="hovedtall_sats_x_utgangspunkt">'Hovedtall'!$C$16</definedName>
    <definedName name="hovedtall_utgangspunkt">'Hovedtall'!$C$6</definedName>
    <definedName name="kilder_budsjettaar">'Kilder'!$C$6</definedName>
    <definedName name="kilder_content_length">'Kilder'!$C$12</definedName>
    <definedName name="kilder_filnavn">'Kilder'!$C$10</definedName>
    <definedName name="kilder_finn_dom">'Kilder'!$C$34</definedName>
    <definedName name="kilder_hentet">'Kilder'!$C$13</definedName>
    <definedName name="kilder_kjort">'Kilder'!$C$33</definedName>
    <definedName name="kilder_kontroll_a">'Kilder'!$C$28</definedName>
    <definedName name="kilder_kontroll_b">'Kilder'!$C$29</definedName>
    <definedName name="kilder_kontroll_c">'Kilder'!$C$30</definedName>
    <definedName name="kilder_rnb">'Kilder'!$C$26</definedName>
    <definedName name="kilder_sha256">'Kilder'!$C$11</definedName>
    <definedName name="kilder_side_hovedtabell">'Kilder'!$C$17</definedName>
    <definedName name="kilder_side_institusjoner">'Kilder'!$C$23</definedName>
    <definedName name="kilder_side_lukket">'Kilder'!$C$22</definedName>
    <definedName name="kilder_side_prisjustering">'Kilder'!$C$19</definedName>
    <definedName name="kilder_side_resultat">'Kilder'!$C$20</definedName>
    <definedName name="kilder_side_satser">'Kilder'!$C$21</definedName>
    <definedName name="kilder_side_trykt">'Kilder'!$C$18</definedName>
    <definedName name="kilder_sider">'Kilder'!$C$14</definedName>
    <definedName name="kilder_sitat">'Kilder'!$C$27</definedName>
    <definedName name="kilder_skript">'Kilder'!$C$31</definedName>
    <definedName name="kilder_skriptversjon">'Kilder'!$C$32</definedName>
    <definedName name="kilder_tittel">'Kilder'!$C$8</definedName>
    <definedName name="kilder_url">'Kilder'!$C$9</definedName>
    <definedName name="kilder_utgave">'Kilder'!$C$7</definedName>
    <definedName name="resultat_merknad">'Resultat'!$B$11</definedName>
    <definedName name="resultat_overskrift">'Resultat'!$B$5</definedName>
    <definedName name="resultat_start">'Resultat'!$B$6</definedName>
    <definedName name="satser_lukket_ramme_start">'Satser'!$B$32</definedName>
    <definedName name="satser_lukket_ramme_tomtekst">'Satser'!$B$32</definedName>
    <definedName name="satser_merknad">'Satser'!$B$45</definedName>
    <definedName name="satser_open_ramme_start">'Satser'!$B$6</definedName>
    <definedName name="satser_open_ramme_tomtekst">'Satser'!$B$6</definedName>
    <definedName name="sektor_alle_overskrift">'Sektor'!$B$19</definedName>
    <definedName name="sektor_alle_start">'Sektor'!$B$20</definedName>
    <definedName name="sektor_universiteter_overskrift">'Sektor'!$B$6</definedName>
    <definedName name="sektor_universiteter_start">'Sektor'!$B$7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 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0033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4" customWidth="1" min="2" max="2"/>
    <col width="18" customWidth="1" min="3" max="3"/>
    <col width="44" customWidth="1" min="4" max="4"/>
  </cols>
  <sheetData>
    <row r="2">
      <c r="B2" s="1" t="inlineStr">
        <is>
          <t>Hovedtall for UiT, kap. 260 post 50</t>
        </is>
      </c>
    </row>
    <row r="3">
      <c r="B3" s="2" t="inlineStr">
        <is>
          <t>NOK i hele tusen</t>
        </is>
      </c>
    </row>
    <row r="5">
      <c r="B5" s="3" t="inlineStr">
        <is>
          <t>Hovedtall</t>
        </is>
      </c>
      <c r="C5" s="3" t="inlineStr">
        <is>
          <t>Verdi</t>
        </is>
      </c>
    </row>
    <row r="6">
      <c r="B6" t="inlineStr">
        <is>
          <t>Utgangspunkt (heftets første kolonne)</t>
        </is>
      </c>
      <c r="C6" s="4" t="n"/>
    </row>
    <row r="7">
      <c r="B7" t="inlineStr">
        <is>
          <t>Forslag (heftets siste kolonne)</t>
        </is>
      </c>
      <c r="C7" s="4" t="n"/>
    </row>
    <row r="8">
      <c r="B8" t="inlineStr">
        <is>
          <t>Endring i kroner</t>
        </is>
      </c>
      <c r="C8" s="4">
        <f>'Hovedtall'!$C$7-'Hovedtall'!$C$6</f>
        <v/>
      </c>
    </row>
    <row r="9">
      <c r="B9" t="inlineStr">
        <is>
          <t>Nominell endring</t>
        </is>
      </c>
      <c r="C9" s="5">
        <f>'Hovedtall'!$C$8/'Hovedtall'!$C$6</f>
        <v/>
      </c>
    </row>
    <row r="10">
      <c r="B10" t="inlineStr">
        <is>
          <t>Prisjusteringssats i heftet</t>
        </is>
      </c>
      <c r="C10" s="5" t="n"/>
    </row>
    <row r="11">
      <c r="B11" t="inlineStr">
        <is>
          <t>Realvekst (metode b, uten RNB)</t>
        </is>
      </c>
      <c r="C11" s="5">
        <f>('Hovedtall'!$C$8-'Hovedtall'!$C$15)/'Hovedtall'!$C$6</f>
        <v/>
      </c>
    </row>
    <row r="12">
      <c r="B12" t="inlineStr">
        <is>
          <t>Realvekst (metode b, med RNB &lt;år−1&gt; i utgangspunktet)</t>
        </is>
      </c>
      <c r="C12" s="5">
        <f>IF('Hovedtall'!$C$23="","ikke oppgitt",('Hovedtall'!$C$8-'Hovedtall'!$C$15)/('Hovedtall'!$C$6+'Hovedtall'!$C$23))</f>
        <v/>
      </c>
    </row>
    <row r="14">
      <c r="B14" s="3" t="inlineStr">
        <is>
          <t>Kontroll</t>
        </is>
      </c>
      <c r="C14" s="3" t="inlineStr">
        <is>
          <t>Verdi</t>
        </is>
      </c>
    </row>
    <row r="15">
      <c r="B15" t="inlineStr">
        <is>
          <t>Prisjustering i kroner fra heftet</t>
        </is>
      </c>
      <c r="C15" s="4" t="n"/>
    </row>
    <row r="16">
      <c r="B16" t="inlineStr">
        <is>
          <t>Sats x utgangspunkt</t>
        </is>
      </c>
      <c r="C16" s="4">
        <f>ROUND('Hovedtall'!$C$10*'Hovedtall'!$C$6,0)</f>
        <v/>
      </c>
    </row>
    <row r="17">
      <c r="B17" t="inlineStr">
        <is>
          <t>Avvik (heftet minus sats x utgangspunkt)</t>
        </is>
      </c>
      <c r="C17" s="4">
        <f>'Hovedtall'!$C$15-'Hovedtall'!$C$16</f>
        <v/>
      </c>
    </row>
    <row r="18">
      <c r="B18" t="inlineStr">
        <is>
          <t>Ren sats (avvik innenfor toleranse)</t>
        </is>
      </c>
    </row>
    <row r="19">
      <c r="B19" t="inlineStr">
        <is>
          <t>Realvekst (metode a, uten RNB)</t>
        </is>
      </c>
      <c r="C19" s="5">
        <f>'Hovedtall'!$C$9-'Hovedtall'!$C$10</f>
        <v/>
      </c>
    </row>
    <row r="20">
      <c r="B20" t="inlineStr">
        <is>
          <t>Realvekst (metode a, med RNB &lt;år−1&gt; i utgangspunktet)</t>
        </is>
      </c>
      <c r="C20" s="5">
        <f>IF('Hovedtall'!$C$23="","ikke oppgitt",'Hovedtall'!$C$8/('Hovedtall'!$C$6+'Hovedtall'!$C$23)-'Hovedtall'!$C$10)</f>
        <v/>
      </c>
    </row>
    <row r="21">
      <c r="B21" t="inlineStr">
        <is>
          <t>Realvekst (metode b) om RNB-endringen er varig og ikke inngår i prisjusteringskolonnen</t>
        </is>
      </c>
      <c r="C21" s="5">
        <f>IF('Hovedtall'!$C$23="","ikke oppgitt",('Hovedtall'!$C$7-('Hovedtall'!$C$6+'Hovedtall'!$C$23)-'Hovedtall'!$C$15)/('Hovedtall'!$C$6+'Hovedtall'!$C$23))</f>
        <v/>
      </c>
    </row>
    <row r="22">
      <c r="B22" t="inlineStr">
        <is>
          <t>RNB-regime (utledet av skriptet)</t>
        </is>
      </c>
    </row>
    <row r="23">
      <c r="B23" s="6" t="inlineStr">
        <is>
          <t>RNB-endring &lt;år−1&gt; for UiT, kap. 260 post 50, fra budsjettbasen (KDs supplerende tildelingsbrev); tom = ikke justert</t>
        </is>
      </c>
      <c r="C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18" customWidth="1" min="3" max="3"/>
    <col width="18" customWidth="1" min="4" max="4"/>
    <col width="16" customWidth="1" min="5" max="5"/>
    <col width="18" customWidth="1" min="6" max="6"/>
    <col width="70" customWidth="1" min="7" max="7"/>
  </cols>
  <sheetData>
    <row r="2">
      <c r="B2" s="1" t="inlineStr">
        <is>
          <t>Budsjettløpet for UiT: forslag, vedtatt og revidert</t>
        </is>
      </c>
    </row>
    <row r="3">
      <c r="B3" s="2" t="inlineStr">
        <is>
          <t>NOK i hele tusen</t>
        </is>
      </c>
    </row>
    <row r="5">
      <c r="B5" s="3" t="inlineStr">
        <is>
          <t>Budsjettår</t>
        </is>
      </c>
      <c r="C5" s="3" t="inlineStr">
        <is>
          <t>Forslag (blått hefte)</t>
        </is>
      </c>
      <c r="D5" s="3" t="inlineStr">
        <is>
          <t>Vedtatt (etter Stortinget)</t>
        </is>
      </c>
      <c r="E5" s="3" t="inlineStr">
        <is>
          <t>RNB-endring, kap. 260 post 50</t>
        </is>
      </c>
      <c r="F5" s="3" t="inlineStr">
        <is>
          <t>Vedtatt etter RNB</t>
        </is>
      </c>
      <c r="G5" s="3" t="inlineStr">
        <is>
          <t>RNB-kilde</t>
        </is>
      </c>
    </row>
    <row r="6">
      <c r="C6" s="4" t="n"/>
      <c r="D6" s="4" t="n"/>
      <c r="E6" s="4" t="n"/>
      <c r="F6" s="4">
        <f>IF(OR(D6="",E6=""),"ikke oppgitt",D6+E6)</f>
        <v/>
      </c>
    </row>
    <row r="7">
      <c r="C7" s="4" t="n"/>
      <c r="D7" s="4" t="n"/>
      <c r="E7" s="4" t="n"/>
      <c r="F7" s="4">
        <f>IF(OR(D7="",E7=""),"ikke oppgitt",D7+E7)</f>
        <v/>
      </c>
    </row>
    <row r="8">
      <c r="C8" s="4" t="n"/>
      <c r="D8" s="4" t="n"/>
      <c r="E8" s="4" t="n"/>
      <c r="F8" s="4">
        <f>IF(OR(D8="",E8=""),"ikke oppgitt",D8+E8)</f>
        <v/>
      </c>
    </row>
    <row r="9">
      <c r="C9" s="4" t="n"/>
      <c r="D9" s="4" t="n"/>
      <c r="E9" s="4" t="n"/>
      <c r="F9" s="4">
        <f>IF(OR(D9="",E9=""),"ikke oppgitt",D9+E9)</f>
        <v/>
      </c>
    </row>
    <row r="10">
      <c r="C10" s="4" t="n"/>
      <c r="D10" s="4" t="n"/>
      <c r="E10" s="4" t="n"/>
      <c r="F10" s="4">
        <f>IF(OR(D10="",E10=""),"ikke oppgitt",D10+E10)</f>
        <v/>
      </c>
    </row>
    <row r="11">
      <c r="C11" s="4" t="n"/>
      <c r="D11" s="4" t="n"/>
      <c r="E11" s="4" t="n"/>
      <c r="F11" s="4">
        <f>IF(OR(D11="",E11=""),"ikke oppgitt",D11+E11)</f>
        <v/>
      </c>
    </row>
    <row r="13">
      <c r="B13" s="2" t="inlineStr">
        <is>
          <t>RNB-endringen er UiTs endring på kap. 260 post 50 i KDs supplerende tildelingsbrev nr. 1 etter revidert nasjonalbudsjett (juni/juli); den kan være negativ. Proposisjonen har bare sektortall, og blått hefte har ingen RNB-utgave. Hovedtall bruker RNB-endringen for året før som del av utgangspunktet. Kilder merket (uverifisert) er ikke kontrollert mot et offentlig dokument.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4" customWidth="1" min="2" max="2"/>
    <col width="34" customWidth="1" min="3" max="3"/>
    <col width="18" customWidth="1" min="4" max="4"/>
  </cols>
  <sheetData>
    <row r="2">
      <c r="B2" s="1" t="inlineStr">
        <is>
          <t>Hovedposter: heftets kolonner for UiT</t>
        </is>
      </c>
    </row>
    <row r="3">
      <c r="B3" s="2" t="inlineStr">
        <is>
          <t>NOK i hele tusen</t>
        </is>
      </c>
    </row>
    <row r="5">
      <c r="B5" s="3" t="inlineStr">
        <is>
          <t>Post (heftets etikett)</t>
        </is>
      </c>
      <c r="C5" s="3" t="inlineStr">
        <is>
          <t>Egen etikett</t>
        </is>
      </c>
      <c r="D5" s="3" t="inlineStr">
        <is>
          <t>UiT</t>
        </is>
      </c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B19" s="6" t="inlineStr">
        <is>
          <t>Sum utgangspunkt og endringar</t>
        </is>
      </c>
      <c r="D19" s="7">
        <f>SUM(D6:D17)</f>
        <v/>
      </c>
    </row>
    <row r="20">
      <c r="B20" t="inlineStr">
        <is>
          <t>Avvik mot heftets forslag (skal vere 0)</t>
        </is>
      </c>
      <c r="D20" s="4">
        <f>D19-D18</f>
        <v/>
      </c>
    </row>
    <row r="22">
      <c r="B22" s="3" t="inlineStr">
        <is>
          <t>Justert for RNB</t>
        </is>
      </c>
      <c r="C22" s="3" t="inlineStr">
        <is>
          <t>Verdi</t>
        </is>
      </c>
    </row>
    <row r="23">
      <c r="B23" t="inlineStr">
        <is>
          <t>Utgangspunkt inkl. RNB</t>
        </is>
      </c>
      <c r="C23" s="4">
        <f>IF('Hovedtall'!$C$23="","ikke oppgitt",D6+'Hovedtall'!$C$23)</f>
        <v/>
      </c>
    </row>
    <row r="24">
      <c r="B24" t="inlineStr">
        <is>
          <t>Forslag inkl. RNB</t>
        </is>
      </c>
      <c r="C24" s="4">
        <f>IF('Hovedtall'!$C$23="","ikke oppgitt",D18+'Hovedtall'!$C$23)</f>
        <v/>
      </c>
    </row>
    <row r="25">
      <c r="B25" t="inlineStr">
        <is>
          <t>Nominell endring inkl. RNB</t>
        </is>
      </c>
      <c r="C25" s="5">
        <f>IF('Hovedtall'!$C$23="","ikke oppgitt",(D18-D6)/(D6+'Hovedtall'!$C$23))</f>
        <v/>
      </c>
    </row>
    <row r="26">
      <c r="B26" t="inlineStr">
        <is>
          <t>Realvekst (metode b) inkl. RNB</t>
        </is>
      </c>
      <c r="C26" s="5">
        <f>IF('Hovedtall'!$C$23="","ikke oppgitt",(D18-D6-'Hovedtall'!$C$15)/(D6+'Hovedtall'!$C$23))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34" customWidth="1" min="3" max="3"/>
    <col width="18" customWidth="1" min="4" max="4"/>
    <col width="18" customWidth="1" min="5" max="5"/>
  </cols>
  <sheetData>
    <row r="2">
      <c r="B2" s="1" t="inlineStr">
        <is>
          <t>Resultatbasert utteljing for UiT per indikator</t>
        </is>
      </c>
    </row>
    <row r="3">
      <c r="B3" s="2" t="inlineStr">
        <is>
          <t>NOK i hele tusen</t>
        </is>
      </c>
    </row>
    <row r="5">
      <c r="B5" s="3" t="inlineStr">
        <is>
          <t>Indikator (heftets etikett)</t>
        </is>
      </c>
      <c r="C5" s="3" t="inlineStr">
        <is>
          <t>Egen etikett</t>
        </is>
      </c>
      <c r="D5" s="3" t="inlineStr">
        <is>
          <t>UiT</t>
        </is>
      </c>
      <c r="E5" s="3" t="inlineStr">
        <is>
          <t>Sumkolonne i heftet</t>
        </is>
      </c>
    </row>
    <row r="6">
      <c r="D6" s="4" t="n"/>
    </row>
    <row r="7">
      <c r="D7" s="4" t="n"/>
    </row>
    <row r="8">
      <c r="D8" s="4" t="n"/>
    </row>
    <row r="9">
      <c r="D9" s="4" t="n"/>
    </row>
    <row r="11">
      <c r="B11" s="2" t="inlineStr">
        <is>
          <t>Indikatorene og sumkolonnene er heftets egne for dette året. Malen har ingen faste indikatornavn.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Sammenligning med andre institusjoner</t>
        </is>
      </c>
    </row>
    <row r="3">
      <c r="B3" s="2" t="inlineStr">
        <is>
          <t>NOK i hele tusen</t>
        </is>
      </c>
    </row>
    <row r="5">
      <c r="B5" s="6" t="inlineStr">
        <is>
          <t>Universiteta</t>
        </is>
      </c>
    </row>
    <row r="6">
      <c r="B6" s="3" t="inlineStr">
        <is>
          <t>Kortkode</t>
        </is>
      </c>
      <c r="C6" s="3" t="inlineStr">
        <is>
          <t>Institusjon</t>
        </is>
      </c>
      <c r="D6" s="3" t="inlineStr">
        <is>
          <t>Utgangspunkt</t>
        </is>
      </c>
      <c r="E6" s="3" t="inlineStr">
        <is>
          <t>Forslag</t>
        </is>
      </c>
      <c r="F6" s="3" t="inlineStr">
        <is>
          <t>Nominell endring</t>
        </is>
      </c>
      <c r="G6" s="3" t="inlineStr">
        <is>
          <t>Prisjustering</t>
        </is>
      </c>
      <c r="H6" s="3" t="inlineStr">
        <is>
          <t>Realvekst (metode b)</t>
        </is>
      </c>
    </row>
    <row r="7">
      <c r="D7" s="4" t="n"/>
      <c r="E7" s="4" t="n"/>
      <c r="F7" s="5">
        <f>(E7-D7)/D7</f>
        <v/>
      </c>
      <c r="G7" s="4" t="n"/>
      <c r="H7" s="5">
        <f>(E7-D7-G7)/D7</f>
        <v/>
      </c>
    </row>
    <row r="8">
      <c r="D8" s="4" t="n"/>
      <c r="E8" s="4" t="n"/>
      <c r="F8" s="5">
        <f>(E8-D8)/D8</f>
        <v/>
      </c>
      <c r="G8" s="4" t="n"/>
      <c r="H8" s="5">
        <f>(E8-D8-G8)/D8</f>
        <v/>
      </c>
    </row>
    <row r="9">
      <c r="D9" s="4" t="n"/>
      <c r="E9" s="4" t="n"/>
      <c r="F9" s="5">
        <f>(E9-D9)/D9</f>
        <v/>
      </c>
      <c r="G9" s="4" t="n"/>
      <c r="H9" s="5">
        <f>(E9-D9-G9)/D9</f>
        <v/>
      </c>
    </row>
    <row r="10">
      <c r="D10" s="4" t="n"/>
      <c r="E10" s="4" t="n"/>
      <c r="F10" s="5">
        <f>(E10-D10)/D10</f>
        <v/>
      </c>
      <c r="G10" s="4" t="n"/>
      <c r="H10" s="5">
        <f>(E10-D10-G10)/D10</f>
        <v/>
      </c>
    </row>
    <row r="11">
      <c r="D11" s="4" t="n"/>
      <c r="E11" s="4" t="n"/>
      <c r="F11" s="5">
        <f>(E11-D11)/D11</f>
        <v/>
      </c>
      <c r="G11" s="4" t="n"/>
      <c r="H11" s="5">
        <f>(E11-D11-G11)/D11</f>
        <v/>
      </c>
    </row>
    <row r="12">
      <c r="D12" s="4" t="n"/>
      <c r="E12" s="4" t="n"/>
      <c r="F12" s="5">
        <f>(E12-D12)/D12</f>
        <v/>
      </c>
      <c r="G12" s="4" t="n"/>
      <c r="H12" s="5">
        <f>(E12-D12-G12)/D12</f>
        <v/>
      </c>
    </row>
    <row r="13">
      <c r="D13" s="4" t="n"/>
      <c r="E13" s="4" t="n"/>
      <c r="F13" s="5">
        <f>(E13-D13)/D13</f>
        <v/>
      </c>
      <c r="G13" s="4" t="n"/>
      <c r="H13" s="5">
        <f>(E13-D13-G13)/D13</f>
        <v/>
      </c>
    </row>
    <row r="14">
      <c r="D14" s="4" t="n"/>
      <c r="E14" s="4" t="n"/>
      <c r="F14" s="5">
        <f>(E14-D14)/D14</f>
        <v/>
      </c>
      <c r="G14" s="4" t="n"/>
      <c r="H14" s="5">
        <f>(E14-D14-G14)/D14</f>
        <v/>
      </c>
    </row>
    <row r="15">
      <c r="D15" s="4" t="n"/>
      <c r="E15" s="4" t="n"/>
      <c r="F15" s="5">
        <f>(E15-D15)/D15</f>
        <v/>
      </c>
      <c r="G15" s="4" t="n"/>
      <c r="H15" s="5">
        <f>(E15-D15-G15)/D15</f>
        <v/>
      </c>
    </row>
    <row r="16">
      <c r="D16" s="4" t="n"/>
      <c r="E16" s="4" t="n"/>
      <c r="F16" s="5">
        <f>(E16-D16)/D16</f>
        <v/>
      </c>
      <c r="G16" s="4" t="n"/>
      <c r="H16" s="5">
        <f>(E16-D16-G16)/D16</f>
        <v/>
      </c>
    </row>
    <row r="18">
      <c r="B18" s="6" t="inlineStr">
        <is>
          <t>Alle statlege institusjonar</t>
        </is>
      </c>
    </row>
    <row r="19">
      <c r="B19" s="3" t="inlineStr">
        <is>
          <t>Kortkode</t>
        </is>
      </c>
      <c r="C19" s="3" t="inlineStr">
        <is>
          <t>Institusjon</t>
        </is>
      </c>
      <c r="D19" s="3" t="inlineStr">
        <is>
          <t>Utgangspunkt</t>
        </is>
      </c>
      <c r="E19" s="3" t="inlineStr">
        <is>
          <t>Forslag</t>
        </is>
      </c>
      <c r="F19" s="3" t="inlineStr">
        <is>
          <t>Nominell endring</t>
        </is>
      </c>
      <c r="G19" s="3" t="inlineStr">
        <is>
          <t>Prisjustering</t>
        </is>
      </c>
      <c r="H19" s="3" t="inlineStr">
        <is>
          <t>Realvekst (metode b)</t>
        </is>
      </c>
    </row>
    <row r="20">
      <c r="D20" s="4" t="n"/>
      <c r="E20" s="4" t="n"/>
      <c r="F20" s="5">
        <f>(E20-D20)/D20</f>
        <v/>
      </c>
      <c r="G20" s="4" t="n"/>
      <c r="H20" s="5">
        <f>(E20-D20-G20)/D20</f>
        <v/>
      </c>
    </row>
    <row r="21">
      <c r="D21" s="4" t="n"/>
      <c r="E21" s="4" t="n"/>
      <c r="F21" s="5">
        <f>(E21-D21)/D21</f>
        <v/>
      </c>
      <c r="G21" s="4" t="n"/>
      <c r="H21" s="5">
        <f>(E21-D21-G21)/D21</f>
        <v/>
      </c>
    </row>
    <row r="22">
      <c r="D22" s="4" t="n"/>
      <c r="E22" s="4" t="n"/>
      <c r="F22" s="5">
        <f>(E22-D22)/D22</f>
        <v/>
      </c>
      <c r="G22" s="4" t="n"/>
      <c r="H22" s="5">
        <f>(E22-D22-G22)/D22</f>
        <v/>
      </c>
    </row>
    <row r="23">
      <c r="D23" s="4" t="n"/>
      <c r="E23" s="4" t="n"/>
      <c r="F23" s="5">
        <f>(E23-D23)/D23</f>
        <v/>
      </c>
      <c r="G23" s="4" t="n"/>
      <c r="H23" s="5">
        <f>(E23-D23-G23)/D23</f>
        <v/>
      </c>
    </row>
    <row r="24">
      <c r="D24" s="4" t="n"/>
      <c r="E24" s="4" t="n"/>
      <c r="F24" s="5">
        <f>(E24-D24)/D24</f>
        <v/>
      </c>
      <c r="G24" s="4" t="n"/>
      <c r="H24" s="5">
        <f>(E24-D24-G24)/D24</f>
        <v/>
      </c>
    </row>
    <row r="25">
      <c r="D25" s="4" t="n"/>
      <c r="E25" s="4" t="n"/>
      <c r="F25" s="5">
        <f>(E25-D25)/D25</f>
        <v/>
      </c>
      <c r="G25" s="4" t="n"/>
      <c r="H25" s="5">
        <f>(E25-D25-G25)/D25</f>
        <v/>
      </c>
    </row>
    <row r="26">
      <c r="D26" s="4" t="n"/>
      <c r="E26" s="4" t="n"/>
      <c r="F26" s="5">
        <f>(E26-D26)/D26</f>
        <v/>
      </c>
      <c r="G26" s="4" t="n"/>
      <c r="H26" s="5">
        <f>(E26-D26-G26)/D26</f>
        <v/>
      </c>
    </row>
    <row r="27">
      <c r="D27" s="4" t="n"/>
      <c r="E27" s="4" t="n"/>
      <c r="F27" s="5">
        <f>(E27-D27)/D27</f>
        <v/>
      </c>
      <c r="G27" s="4" t="n"/>
      <c r="H27" s="5">
        <f>(E27-D27-G27)/D27</f>
        <v/>
      </c>
    </row>
    <row r="28">
      <c r="D28" s="4" t="n"/>
      <c r="E28" s="4" t="n"/>
      <c r="F28" s="5">
        <f>(E28-D28)/D28</f>
        <v/>
      </c>
      <c r="G28" s="4" t="n"/>
      <c r="H28" s="5">
        <f>(E28-D28-G28)/D28</f>
        <v/>
      </c>
    </row>
    <row r="29">
      <c r="D29" s="4" t="n"/>
      <c r="E29" s="4" t="n"/>
      <c r="F29" s="5">
        <f>(E29-D29)/D29</f>
        <v/>
      </c>
      <c r="G29" s="4" t="n"/>
      <c r="H29" s="5">
        <f>(E29-D29-G29)/D29</f>
        <v/>
      </c>
    </row>
    <row r="30">
      <c r="D30" s="4" t="n"/>
      <c r="E30" s="4" t="n"/>
      <c r="F30" s="5">
        <f>(E30-D30)/D30</f>
        <v/>
      </c>
      <c r="G30" s="4" t="n"/>
      <c r="H30" s="5">
        <f>(E30-D30-G30)/D30</f>
        <v/>
      </c>
    </row>
    <row r="31">
      <c r="D31" s="4" t="n"/>
      <c r="E31" s="4" t="n"/>
      <c r="F31" s="5">
        <f>(E31-D31)/D31</f>
        <v/>
      </c>
      <c r="G31" s="4" t="n"/>
      <c r="H31" s="5">
        <f>(E31-D31-G31)/D31</f>
        <v/>
      </c>
    </row>
    <row r="32">
      <c r="D32" s="4" t="n"/>
      <c r="E32" s="4" t="n"/>
      <c r="F32" s="5">
        <f>(E32-D32)/D32</f>
        <v/>
      </c>
      <c r="G32" s="4" t="n"/>
      <c r="H32" s="5">
        <f>(E32-D32-G32)/D32</f>
        <v/>
      </c>
    </row>
    <row r="33">
      <c r="D33" s="4" t="n"/>
      <c r="E33" s="4" t="n"/>
      <c r="F33" s="5">
        <f>(E33-D33)/D33</f>
        <v/>
      </c>
      <c r="G33" s="4" t="n"/>
      <c r="H33" s="5">
        <f>(E33-D33-G33)/D33</f>
        <v/>
      </c>
    </row>
    <row r="34">
      <c r="D34" s="4" t="n"/>
      <c r="E34" s="4" t="n"/>
      <c r="F34" s="5">
        <f>(E34-D34)/D34</f>
        <v/>
      </c>
      <c r="G34" s="4" t="n"/>
      <c r="H34" s="5">
        <f>(E34-D34-G34)/D34</f>
        <v/>
      </c>
    </row>
    <row r="35">
      <c r="D35" s="4" t="n"/>
      <c r="E35" s="4" t="n"/>
      <c r="F35" s="5">
        <f>(E35-D35)/D35</f>
        <v/>
      </c>
      <c r="G35" s="4" t="n"/>
      <c r="H35" s="5">
        <f>(E35-D35-G35)/D35</f>
        <v/>
      </c>
    </row>
    <row r="36">
      <c r="D36" s="4" t="n"/>
      <c r="E36" s="4" t="n"/>
      <c r="F36" s="5">
        <f>(E36-D36)/D36</f>
        <v/>
      </c>
      <c r="G36" s="4" t="n"/>
      <c r="H36" s="5">
        <f>(E36-D36-G36)/D36</f>
        <v/>
      </c>
    </row>
    <row r="37">
      <c r="D37" s="4" t="n"/>
      <c r="E37" s="4" t="n"/>
      <c r="F37" s="5">
        <f>(E37-D37)/D37</f>
        <v/>
      </c>
      <c r="G37" s="4" t="n"/>
      <c r="H37" s="5">
        <f>(E37-D37-G37)/D37</f>
        <v/>
      </c>
    </row>
    <row r="38">
      <c r="D38" s="4" t="n"/>
      <c r="E38" s="4" t="n"/>
      <c r="F38" s="5">
        <f>(E38-D38)/D38</f>
        <v/>
      </c>
      <c r="G38" s="4" t="n"/>
      <c r="H38" s="5">
        <f>(E38-D38-G38)/D38</f>
        <v/>
      </c>
    </row>
    <row r="39">
      <c r="D39" s="4" t="n"/>
      <c r="E39" s="4" t="n"/>
      <c r="F39" s="5">
        <f>(E39-D39)/D39</f>
        <v/>
      </c>
      <c r="G39" s="4" t="n"/>
      <c r="H39" s="5">
        <f>(E39-D39-G39)/D39</f>
        <v/>
      </c>
    </row>
    <row r="40">
      <c r="D40" s="4" t="n"/>
      <c r="E40" s="4" t="n"/>
      <c r="F40" s="5">
        <f>(E40-D40)/D40</f>
        <v/>
      </c>
      <c r="G40" s="4" t="n"/>
      <c r="H40" s="5">
        <f>(E40-D40-G40)/D40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4" customWidth="1" min="2" max="2"/>
    <col width="60" customWidth="1" min="3" max="3"/>
    <col width="22" customWidth="1" min="4" max="4"/>
    <col width="22" customWidth="1" min="5" max="5"/>
  </cols>
  <sheetData>
    <row r="2">
      <c r="B2" s="1" t="inlineStr">
        <is>
          <t>Satsar og rammer slik heftet oppgir dei</t>
        </is>
      </c>
    </row>
    <row r="5">
      <c r="B5" s="3" t="inlineStr">
        <is>
          <t>Open ramme</t>
        </is>
      </c>
      <c r="C5" s="3" t="n"/>
      <c r="D5" s="3" t="n"/>
      <c r="E5" s="3" t="n"/>
    </row>
    <row r="6">
      <c r="B6" t="inlineStr">
        <is>
          <t>Open ramme finst ikkje i heftet for dette året.</t>
        </is>
      </c>
    </row>
    <row r="31">
      <c r="B31" s="3" t="inlineStr">
        <is>
          <t>Lukka ramme</t>
        </is>
      </c>
      <c r="C31" s="3" t="n"/>
      <c r="D31" s="3" t="n"/>
      <c r="E31" s="3" t="n"/>
    </row>
    <row r="32">
      <c r="B32" t="inlineStr">
        <is>
          <t>Lukket ramme finnes ikke i heftet for dette året.</t>
        </is>
      </c>
    </row>
    <row r="45">
      <c r="B45" s="2" t="inlineStr">
        <is>
          <t>Satskolonne for lukka ramme: ikke i heftet, krever produksjonstall fra DBH.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0" customWidth="1" min="2" max="2"/>
    <col width="96" customWidth="1" min="3" max="3"/>
  </cols>
  <sheetData>
    <row r="2">
      <c r="B2" s="1" t="inlineStr">
        <is>
          <t>Kilder og kontrollspor</t>
        </is>
      </c>
    </row>
    <row r="5">
      <c r="B5" s="3" t="inlineStr">
        <is>
          <t>Kilde</t>
        </is>
      </c>
      <c r="C5" s="3" t="inlineStr">
        <is>
          <t>Verdi</t>
        </is>
      </c>
    </row>
    <row r="6">
      <c r="B6" t="inlineStr">
        <is>
          <t>Budsjettår</t>
        </is>
      </c>
    </row>
    <row r="7">
      <c r="B7" t="inlineStr">
        <is>
          <t>Utgave</t>
        </is>
      </c>
    </row>
    <row r="8">
      <c r="B8" t="inlineStr">
        <is>
          <t>Tittel</t>
        </is>
      </c>
    </row>
    <row r="9">
      <c r="B9" t="inlineStr">
        <is>
          <t>URL</t>
        </is>
      </c>
    </row>
    <row r="10">
      <c r="B10" t="inlineStr">
        <is>
          <t>Filnavn</t>
        </is>
      </c>
    </row>
    <row r="11">
      <c r="B11" t="inlineStr">
        <is>
          <t>SHA-256</t>
        </is>
      </c>
    </row>
    <row r="12">
      <c r="B12" t="inlineStr">
        <is>
          <t>Filstørrelse (byte)</t>
        </is>
      </c>
      <c r="C12" s="4" t="n"/>
    </row>
    <row r="13">
      <c r="B13" t="inlineStr">
        <is>
          <t>Hentet (UTC)</t>
        </is>
      </c>
    </row>
    <row r="14">
      <c r="B14" t="inlineStr">
        <is>
          <t>Sider i PDF-en</t>
        </is>
      </c>
      <c r="C14" s="4" t="n"/>
    </row>
    <row r="16">
      <c r="B16" s="3" t="inlineStr">
        <is>
          <t>Side per tabell</t>
        </is>
      </c>
      <c r="C16" s="3" t="inlineStr">
        <is>
          <t>PDF-side</t>
        </is>
      </c>
    </row>
    <row r="17">
      <c r="B17" t="inlineStr">
        <is>
          <t>Hovedtabell (kap. 260 post 50)</t>
        </is>
      </c>
      <c r="C17" s="4" t="n"/>
    </row>
    <row r="18">
      <c r="B18" t="inlineStr">
        <is>
          <t>Hovedtabell, trykt sidetall</t>
        </is>
      </c>
      <c r="C18" s="4" t="n"/>
    </row>
    <row r="19">
      <c r="B19" t="inlineStr">
        <is>
          <t>Prisjustering (kolonneforklaring)</t>
        </is>
      </c>
      <c r="C19" s="4" t="n"/>
    </row>
    <row r="20">
      <c r="B20" t="inlineStr">
        <is>
          <t>Resultatbasert utteljing</t>
        </is>
      </c>
      <c r="C20" s="4" t="n"/>
    </row>
    <row r="21">
      <c r="B21" t="inlineStr">
        <is>
          <t>Satsar, open ramme</t>
        </is>
      </c>
      <c r="C21" s="4" t="n"/>
    </row>
    <row r="22">
      <c r="B22" t="inlineStr">
        <is>
          <t>Satsar, lukka ramme</t>
        </is>
      </c>
      <c r="C22" s="4" t="n"/>
    </row>
    <row r="23">
      <c r="B23" t="inlineStr">
        <is>
          <t>Forkortingsliste</t>
        </is>
      </c>
      <c r="C23" s="4" t="n"/>
    </row>
    <row r="25">
      <c r="B25" s="3" t="inlineStr">
        <is>
          <t>Kontroll og skript</t>
        </is>
      </c>
      <c r="C25" s="3" t="inlineStr">
        <is>
          <t>Verdi</t>
        </is>
      </c>
    </row>
    <row r="26">
      <c r="B26" t="inlineStr">
        <is>
          <t>RNB-tillegg brukt i Hovedtall (året før, kilde)</t>
        </is>
      </c>
    </row>
    <row r="27">
      <c r="B27" t="inlineStr">
        <is>
          <t>Prissats-sitat</t>
        </is>
      </c>
    </row>
    <row r="28">
      <c r="B28" t="inlineStr">
        <is>
          <t>Kontroll A (alle rader summerer)</t>
        </is>
      </c>
    </row>
    <row r="29">
      <c r="B29" t="inlineStr">
        <is>
          <t>Kontroll B (bånd mot overskrifter)</t>
        </is>
      </c>
    </row>
    <row r="30">
      <c r="B30" t="inlineStr">
        <is>
          <t>Kontroll C (kryss mot forrige hefte)</t>
        </is>
      </c>
    </row>
    <row r="31">
      <c r="B31" t="inlineStr">
        <is>
          <t>Skript</t>
        </is>
      </c>
    </row>
    <row r="32">
      <c r="B32" t="inlineStr">
        <is>
          <t>Skriptversjon</t>
        </is>
      </c>
    </row>
    <row r="33">
      <c r="B33" t="inlineStr">
        <is>
          <t>Kjørt (UTC)</t>
        </is>
      </c>
    </row>
    <row r="34">
      <c r="B34" t="inlineStr">
        <is>
          <t>Dom fra finn_blaatt_hefte.py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navn</t>
        </is>
      </c>
      <c r="C1" t="inlineStr">
        <is>
          <t>ark</t>
        </is>
      </c>
      <c r="D1" t="inlineStr">
        <is>
          <t>celle</t>
        </is>
      </c>
    </row>
    <row r="2">
      <c r="A2" t="inlineStr">
        <is>
          <t>celle</t>
        </is>
      </c>
      <c r="B2" t="inlineStr">
        <is>
          <t>budsjettloep_merknad</t>
        </is>
      </c>
      <c r="C2" t="inlineStr">
        <is>
          <t>Budsjettløp</t>
        </is>
      </c>
      <c r="D2" t="inlineStr">
        <is>
          <t>B13</t>
        </is>
      </c>
    </row>
    <row r="3">
      <c r="A3" t="inlineStr">
        <is>
          <t>celle</t>
        </is>
      </c>
      <c r="B3" t="inlineStr">
        <is>
          <t>budsjettloep_overskrift</t>
        </is>
      </c>
      <c r="C3" t="inlineStr">
        <is>
          <t>Budsjettløp</t>
        </is>
      </c>
      <c r="D3" t="inlineStr">
        <is>
          <t>B5</t>
        </is>
      </c>
    </row>
    <row r="4">
      <c r="A4" t="inlineStr">
        <is>
          <t>celle</t>
        </is>
      </c>
      <c r="B4" t="inlineStr">
        <is>
          <t>budsjettloep_start</t>
        </is>
      </c>
      <c r="C4" t="inlineStr">
        <is>
          <t>Budsjettløp</t>
        </is>
      </c>
      <c r="D4" t="inlineStr">
        <is>
          <t>B6</t>
        </is>
      </c>
    </row>
    <row r="5">
      <c r="A5" t="inlineStr">
        <is>
          <t>celle</t>
        </is>
      </c>
      <c r="B5" t="inlineStr">
        <is>
          <t>hovedposter_kontroll</t>
        </is>
      </c>
      <c r="C5" t="inlineStr">
        <is>
          <t>Hovedposter</t>
        </is>
      </c>
      <c r="D5" t="inlineStr">
        <is>
          <t>D20</t>
        </is>
      </c>
    </row>
    <row r="6">
      <c r="A6" t="inlineStr">
        <is>
          <t>celle</t>
        </is>
      </c>
      <c r="B6" t="inlineStr">
        <is>
          <t>hovedposter_overskrift</t>
        </is>
      </c>
      <c r="C6" t="inlineStr">
        <is>
          <t>Hovedposter</t>
        </is>
      </c>
      <c r="D6" t="inlineStr">
        <is>
          <t>B5</t>
        </is>
      </c>
    </row>
    <row r="7">
      <c r="A7" t="inlineStr">
        <is>
          <t>celle</t>
        </is>
      </c>
      <c r="B7" t="inlineStr">
        <is>
          <t>hovedposter_rnb_forslag</t>
        </is>
      </c>
      <c r="C7" t="inlineStr">
        <is>
          <t>Hovedposter</t>
        </is>
      </c>
      <c r="D7" t="inlineStr">
        <is>
          <t>C24</t>
        </is>
      </c>
    </row>
    <row r="8">
      <c r="A8" t="inlineStr">
        <is>
          <t>celle</t>
        </is>
      </c>
      <c r="B8" t="inlineStr">
        <is>
          <t>hovedposter_rnb_nominell</t>
        </is>
      </c>
      <c r="C8" t="inlineStr">
        <is>
          <t>Hovedposter</t>
        </is>
      </c>
      <c r="D8" t="inlineStr">
        <is>
          <t>C25</t>
        </is>
      </c>
    </row>
    <row r="9">
      <c r="A9" t="inlineStr">
        <is>
          <t>celle</t>
        </is>
      </c>
      <c r="B9" t="inlineStr">
        <is>
          <t>hovedposter_rnb_realvekst</t>
        </is>
      </c>
      <c r="C9" t="inlineStr">
        <is>
          <t>Hovedposter</t>
        </is>
      </c>
      <c r="D9" t="inlineStr">
        <is>
          <t>C26</t>
        </is>
      </c>
    </row>
    <row r="10">
      <c r="A10" t="inlineStr">
        <is>
          <t>celle</t>
        </is>
      </c>
      <c r="B10" t="inlineStr">
        <is>
          <t>hovedposter_rnb_utgangspunkt</t>
        </is>
      </c>
      <c r="C10" t="inlineStr">
        <is>
          <t>Hovedposter</t>
        </is>
      </c>
      <c r="D10" t="inlineStr">
        <is>
          <t>C23</t>
        </is>
      </c>
    </row>
    <row r="11">
      <c r="A11" t="inlineStr">
        <is>
          <t>celle</t>
        </is>
      </c>
      <c r="B11" t="inlineStr">
        <is>
          <t>hovedposter_start</t>
        </is>
      </c>
      <c r="C11" t="inlineStr">
        <is>
          <t>Hovedposter</t>
        </is>
      </c>
      <c r="D11" t="inlineStr">
        <is>
          <t>B6</t>
        </is>
      </c>
    </row>
    <row r="12">
      <c r="A12" t="inlineStr">
        <is>
          <t>celle</t>
        </is>
      </c>
      <c r="B12" t="inlineStr">
        <is>
          <t>hovedposter_sum</t>
        </is>
      </c>
      <c r="C12" t="inlineStr">
        <is>
          <t>Hovedposter</t>
        </is>
      </c>
      <c r="D12" t="inlineStr">
        <is>
          <t>D19</t>
        </is>
      </c>
    </row>
    <row r="13">
      <c r="A13" t="inlineStr">
        <is>
          <t>celle</t>
        </is>
      </c>
      <c r="B13" t="inlineStr">
        <is>
          <t>hovedtall_endring</t>
        </is>
      </c>
      <c r="C13" t="inlineStr">
        <is>
          <t>Hovedtall</t>
        </is>
      </c>
      <c r="D13" t="inlineStr">
        <is>
          <t>C8</t>
        </is>
      </c>
    </row>
    <row r="14">
      <c r="A14" t="inlineStr">
        <is>
          <t>celle</t>
        </is>
      </c>
      <c r="B14" t="inlineStr">
        <is>
          <t>hovedtall_etikett_forslag</t>
        </is>
      </c>
      <c r="C14" t="inlineStr">
        <is>
          <t>Hovedtall</t>
        </is>
      </c>
      <c r="D14" t="inlineStr">
        <is>
          <t>B7</t>
        </is>
      </c>
    </row>
    <row r="15">
      <c r="A15" t="inlineStr">
        <is>
          <t>celle</t>
        </is>
      </c>
      <c r="B15" t="inlineStr">
        <is>
          <t>hovedtall_etikett_utgangspunkt</t>
        </is>
      </c>
      <c r="C15" t="inlineStr">
        <is>
          <t>Hovedtall</t>
        </is>
      </c>
      <c r="D15" t="inlineStr">
        <is>
          <t>B6</t>
        </is>
      </c>
    </row>
    <row r="16">
      <c r="A16" t="inlineStr">
        <is>
          <t>celle</t>
        </is>
      </c>
      <c r="B16" t="inlineStr">
        <is>
          <t>hovedtall_forslag</t>
        </is>
      </c>
      <c r="C16" t="inlineStr">
        <is>
          <t>Hovedtall</t>
        </is>
      </c>
      <c r="D16" t="inlineStr">
        <is>
          <t>C7</t>
        </is>
      </c>
    </row>
    <row r="17">
      <c r="A17" t="inlineStr">
        <is>
          <t>celle</t>
        </is>
      </c>
      <c r="B17" t="inlineStr">
        <is>
          <t>hovedtall_nominell</t>
        </is>
      </c>
      <c r="C17" t="inlineStr">
        <is>
          <t>Hovedtall</t>
        </is>
      </c>
      <c r="D17" t="inlineStr">
        <is>
          <t>C9</t>
        </is>
      </c>
    </row>
    <row r="18">
      <c r="A18" t="inlineStr">
        <is>
          <t>celle</t>
        </is>
      </c>
      <c r="B18" t="inlineStr">
        <is>
          <t>hovedtall_prisavvik</t>
        </is>
      </c>
      <c r="C18" t="inlineStr">
        <is>
          <t>Hovedtall</t>
        </is>
      </c>
      <c r="D18" t="inlineStr">
        <is>
          <t>C17</t>
        </is>
      </c>
    </row>
    <row r="19">
      <c r="A19" t="inlineStr">
        <is>
          <t>celle</t>
        </is>
      </c>
      <c r="B19" t="inlineStr">
        <is>
          <t>hovedtall_prisjustering</t>
        </is>
      </c>
      <c r="C19" t="inlineStr">
        <is>
          <t>Hovedtall</t>
        </is>
      </c>
      <c r="D19" t="inlineStr">
        <is>
          <t>C15</t>
        </is>
      </c>
    </row>
    <row r="20">
      <c r="A20" t="inlineStr">
        <is>
          <t>celle</t>
        </is>
      </c>
      <c r="B20" t="inlineStr">
        <is>
          <t>hovedtall_prissats</t>
        </is>
      </c>
      <c r="C20" t="inlineStr">
        <is>
          <t>Hovedtall</t>
        </is>
      </c>
      <c r="D20" t="inlineStr">
        <is>
          <t>C10</t>
        </is>
      </c>
    </row>
    <row r="21">
      <c r="A21" t="inlineStr">
        <is>
          <t>celle</t>
        </is>
      </c>
      <c r="B21" t="inlineStr">
        <is>
          <t>hovedtall_realvekst_a</t>
        </is>
      </c>
      <c r="C21" t="inlineStr">
        <is>
          <t>Hovedtall</t>
        </is>
      </c>
      <c r="D21" t="inlineStr">
        <is>
          <t>C19</t>
        </is>
      </c>
    </row>
    <row r="22">
      <c r="A22" t="inlineStr">
        <is>
          <t>celle</t>
        </is>
      </c>
      <c r="B22" t="inlineStr">
        <is>
          <t>hovedtall_realvekst_a_rnb</t>
        </is>
      </c>
      <c r="C22" t="inlineStr">
        <is>
          <t>Hovedtall</t>
        </is>
      </c>
      <c r="D22" t="inlineStr">
        <is>
          <t>C20</t>
        </is>
      </c>
    </row>
    <row r="23">
      <c r="A23" t="inlineStr">
        <is>
          <t>celle</t>
        </is>
      </c>
      <c r="B23" t="inlineStr">
        <is>
          <t>hovedtall_realvekst_b</t>
        </is>
      </c>
      <c r="C23" t="inlineStr">
        <is>
          <t>Hovedtall</t>
        </is>
      </c>
      <c r="D23" t="inlineStr">
        <is>
          <t>C11</t>
        </is>
      </c>
    </row>
    <row r="24">
      <c r="A24" t="inlineStr">
        <is>
          <t>celle</t>
        </is>
      </c>
      <c r="B24" t="inlineStr">
        <is>
          <t>hovedtall_realvekst_b_rnb</t>
        </is>
      </c>
      <c r="C24" t="inlineStr">
        <is>
          <t>Hovedtall</t>
        </is>
      </c>
      <c r="D24" t="inlineStr">
        <is>
          <t>C12</t>
        </is>
      </c>
    </row>
    <row r="25">
      <c r="A25" t="inlineStr">
        <is>
          <t>celle</t>
        </is>
      </c>
      <c r="B25" t="inlineStr">
        <is>
          <t>hovedtall_realvekst_b_rnb_varig</t>
        </is>
      </c>
      <c r="C25" t="inlineStr">
        <is>
          <t>Hovedtall</t>
        </is>
      </c>
      <c r="D25" t="inlineStr">
        <is>
          <t>C21</t>
        </is>
      </c>
    </row>
    <row r="26">
      <c r="A26" t="inlineStr">
        <is>
          <t>celle</t>
        </is>
      </c>
      <c r="B26" t="inlineStr">
        <is>
          <t>hovedtall_ren_sats</t>
        </is>
      </c>
      <c r="C26" t="inlineStr">
        <is>
          <t>Hovedtall</t>
        </is>
      </c>
      <c r="D26" t="inlineStr">
        <is>
          <t>C18</t>
        </is>
      </c>
    </row>
    <row r="27">
      <c r="A27" t="inlineStr">
        <is>
          <t>celle</t>
        </is>
      </c>
      <c r="B27" t="inlineStr">
        <is>
          <t>hovedtall_rnb</t>
        </is>
      </c>
      <c r="C27" t="inlineStr">
        <is>
          <t>Hovedtall</t>
        </is>
      </c>
      <c r="D27" t="inlineStr">
        <is>
          <t>C23</t>
        </is>
      </c>
    </row>
    <row r="28">
      <c r="A28" t="inlineStr">
        <is>
          <t>celle</t>
        </is>
      </c>
      <c r="B28" t="inlineStr">
        <is>
          <t>hovedtall_rnb_regime</t>
        </is>
      </c>
      <c r="C28" t="inlineStr">
        <is>
          <t>Hovedtall</t>
        </is>
      </c>
      <c r="D28" t="inlineStr">
        <is>
          <t>C22</t>
        </is>
      </c>
    </row>
    <row r="29">
      <c r="A29" t="inlineStr">
        <is>
          <t>celle</t>
        </is>
      </c>
      <c r="B29" t="inlineStr">
        <is>
          <t>hovedtall_sats_x_utgangspunkt</t>
        </is>
      </c>
      <c r="C29" t="inlineStr">
        <is>
          <t>Hovedtall</t>
        </is>
      </c>
      <c r="D29" t="inlineStr">
        <is>
          <t>C16</t>
        </is>
      </c>
    </row>
    <row r="30">
      <c r="A30" t="inlineStr">
        <is>
          <t>celle</t>
        </is>
      </c>
      <c r="B30" t="inlineStr">
        <is>
          <t>hovedtall_utgangspunkt</t>
        </is>
      </c>
      <c r="C30" t="inlineStr">
        <is>
          <t>Hovedtall</t>
        </is>
      </c>
      <c r="D30" t="inlineStr">
        <is>
          <t>C6</t>
        </is>
      </c>
    </row>
    <row r="31">
      <c r="A31" t="inlineStr">
        <is>
          <t>celle</t>
        </is>
      </c>
      <c r="B31" t="inlineStr">
        <is>
          <t>kilder_budsjettaar</t>
        </is>
      </c>
      <c r="C31" t="inlineStr">
        <is>
          <t>Kilder</t>
        </is>
      </c>
      <c r="D31" t="inlineStr">
        <is>
          <t>C6</t>
        </is>
      </c>
    </row>
    <row r="32">
      <c r="A32" t="inlineStr">
        <is>
          <t>celle</t>
        </is>
      </c>
      <c r="B32" t="inlineStr">
        <is>
          <t>kilder_content_length</t>
        </is>
      </c>
      <c r="C32" t="inlineStr">
        <is>
          <t>Kilder</t>
        </is>
      </c>
      <c r="D32" t="inlineStr">
        <is>
          <t>C12</t>
        </is>
      </c>
    </row>
    <row r="33">
      <c r="A33" t="inlineStr">
        <is>
          <t>celle</t>
        </is>
      </c>
      <c r="B33" t="inlineStr">
        <is>
          <t>kilder_filnavn</t>
        </is>
      </c>
      <c r="C33" t="inlineStr">
        <is>
          <t>Kilder</t>
        </is>
      </c>
      <c r="D33" t="inlineStr">
        <is>
          <t>C10</t>
        </is>
      </c>
    </row>
    <row r="34">
      <c r="A34" t="inlineStr">
        <is>
          <t>celle</t>
        </is>
      </c>
      <c r="B34" t="inlineStr">
        <is>
          <t>kilder_finn_dom</t>
        </is>
      </c>
      <c r="C34" t="inlineStr">
        <is>
          <t>Kilder</t>
        </is>
      </c>
      <c r="D34" t="inlineStr">
        <is>
          <t>C34</t>
        </is>
      </c>
    </row>
    <row r="35">
      <c r="A35" t="inlineStr">
        <is>
          <t>celle</t>
        </is>
      </c>
      <c r="B35" t="inlineStr">
        <is>
          <t>kilder_hentet</t>
        </is>
      </c>
      <c r="C35" t="inlineStr">
        <is>
          <t>Kilder</t>
        </is>
      </c>
      <c r="D35" t="inlineStr">
        <is>
          <t>C13</t>
        </is>
      </c>
    </row>
    <row r="36">
      <c r="A36" t="inlineStr">
        <is>
          <t>celle</t>
        </is>
      </c>
      <c r="B36" t="inlineStr">
        <is>
          <t>kilder_kjort</t>
        </is>
      </c>
      <c r="C36" t="inlineStr">
        <is>
          <t>Kilder</t>
        </is>
      </c>
      <c r="D36" t="inlineStr">
        <is>
          <t>C33</t>
        </is>
      </c>
    </row>
    <row r="37">
      <c r="A37" t="inlineStr">
        <is>
          <t>celle</t>
        </is>
      </c>
      <c r="B37" t="inlineStr">
        <is>
          <t>kilder_kontroll_a</t>
        </is>
      </c>
      <c r="C37" t="inlineStr">
        <is>
          <t>Kilder</t>
        </is>
      </c>
      <c r="D37" t="inlineStr">
        <is>
          <t>C28</t>
        </is>
      </c>
    </row>
    <row r="38">
      <c r="A38" t="inlineStr">
        <is>
          <t>celle</t>
        </is>
      </c>
      <c r="B38" t="inlineStr">
        <is>
          <t>kilder_kontroll_b</t>
        </is>
      </c>
      <c r="C38" t="inlineStr">
        <is>
          <t>Kilder</t>
        </is>
      </c>
      <c r="D38" t="inlineStr">
        <is>
          <t>C29</t>
        </is>
      </c>
    </row>
    <row r="39">
      <c r="A39" t="inlineStr">
        <is>
          <t>celle</t>
        </is>
      </c>
      <c r="B39" t="inlineStr">
        <is>
          <t>kilder_kontroll_c</t>
        </is>
      </c>
      <c r="C39" t="inlineStr">
        <is>
          <t>Kilder</t>
        </is>
      </c>
      <c r="D39" t="inlineStr">
        <is>
          <t>C30</t>
        </is>
      </c>
    </row>
    <row r="40">
      <c r="A40" t="inlineStr">
        <is>
          <t>celle</t>
        </is>
      </c>
      <c r="B40" t="inlineStr">
        <is>
          <t>kilder_rnb</t>
        </is>
      </c>
      <c r="C40" t="inlineStr">
        <is>
          <t>Kilder</t>
        </is>
      </c>
      <c r="D40" t="inlineStr">
        <is>
          <t>C26</t>
        </is>
      </c>
    </row>
    <row r="41">
      <c r="A41" t="inlineStr">
        <is>
          <t>celle</t>
        </is>
      </c>
      <c r="B41" t="inlineStr">
        <is>
          <t>kilder_sha256</t>
        </is>
      </c>
      <c r="C41" t="inlineStr">
        <is>
          <t>Kilder</t>
        </is>
      </c>
      <c r="D41" t="inlineStr">
        <is>
          <t>C11</t>
        </is>
      </c>
    </row>
    <row r="42">
      <c r="A42" t="inlineStr">
        <is>
          <t>celle</t>
        </is>
      </c>
      <c r="B42" t="inlineStr">
        <is>
          <t>kilder_side_hovedtabell</t>
        </is>
      </c>
      <c r="C42" t="inlineStr">
        <is>
          <t>Kilder</t>
        </is>
      </c>
      <c r="D42" t="inlineStr">
        <is>
          <t>C17</t>
        </is>
      </c>
    </row>
    <row r="43">
      <c r="A43" t="inlineStr">
        <is>
          <t>celle</t>
        </is>
      </c>
      <c r="B43" t="inlineStr">
        <is>
          <t>kilder_side_institusjoner</t>
        </is>
      </c>
      <c r="C43" t="inlineStr">
        <is>
          <t>Kilder</t>
        </is>
      </c>
      <c r="D43" t="inlineStr">
        <is>
          <t>C23</t>
        </is>
      </c>
    </row>
    <row r="44">
      <c r="A44" t="inlineStr">
        <is>
          <t>celle</t>
        </is>
      </c>
      <c r="B44" t="inlineStr">
        <is>
          <t>kilder_side_lukket</t>
        </is>
      </c>
      <c r="C44" t="inlineStr">
        <is>
          <t>Kilder</t>
        </is>
      </c>
      <c r="D44" t="inlineStr">
        <is>
          <t>C22</t>
        </is>
      </c>
    </row>
    <row r="45">
      <c r="A45" t="inlineStr">
        <is>
          <t>celle</t>
        </is>
      </c>
      <c r="B45" t="inlineStr">
        <is>
          <t>kilder_side_prisjustering</t>
        </is>
      </c>
      <c r="C45" t="inlineStr">
        <is>
          <t>Kilder</t>
        </is>
      </c>
      <c r="D45" t="inlineStr">
        <is>
          <t>C19</t>
        </is>
      </c>
    </row>
    <row r="46">
      <c r="A46" t="inlineStr">
        <is>
          <t>celle</t>
        </is>
      </c>
      <c r="B46" t="inlineStr">
        <is>
          <t>kilder_side_resultat</t>
        </is>
      </c>
      <c r="C46" t="inlineStr">
        <is>
          <t>Kilder</t>
        </is>
      </c>
      <c r="D46" t="inlineStr">
        <is>
          <t>C20</t>
        </is>
      </c>
    </row>
    <row r="47">
      <c r="A47" t="inlineStr">
        <is>
          <t>celle</t>
        </is>
      </c>
      <c r="B47" t="inlineStr">
        <is>
          <t>kilder_side_satser</t>
        </is>
      </c>
      <c r="C47" t="inlineStr">
        <is>
          <t>Kilder</t>
        </is>
      </c>
      <c r="D47" t="inlineStr">
        <is>
          <t>C21</t>
        </is>
      </c>
    </row>
    <row r="48">
      <c r="A48" t="inlineStr">
        <is>
          <t>celle</t>
        </is>
      </c>
      <c r="B48" t="inlineStr">
        <is>
          <t>kilder_side_trykt</t>
        </is>
      </c>
      <c r="C48" t="inlineStr">
        <is>
          <t>Kilder</t>
        </is>
      </c>
      <c r="D48" t="inlineStr">
        <is>
          <t>C18</t>
        </is>
      </c>
    </row>
    <row r="49">
      <c r="A49" t="inlineStr">
        <is>
          <t>celle</t>
        </is>
      </c>
      <c r="B49" t="inlineStr">
        <is>
          <t>kilder_sider</t>
        </is>
      </c>
      <c r="C49" t="inlineStr">
        <is>
          <t>Kilder</t>
        </is>
      </c>
      <c r="D49" t="inlineStr">
        <is>
          <t>C14</t>
        </is>
      </c>
    </row>
    <row r="50">
      <c r="A50" t="inlineStr">
        <is>
          <t>celle</t>
        </is>
      </c>
      <c r="B50" t="inlineStr">
        <is>
          <t>kilder_sitat</t>
        </is>
      </c>
      <c r="C50" t="inlineStr">
        <is>
          <t>Kilder</t>
        </is>
      </c>
      <c r="D50" t="inlineStr">
        <is>
          <t>C27</t>
        </is>
      </c>
    </row>
    <row r="51">
      <c r="A51" t="inlineStr">
        <is>
          <t>celle</t>
        </is>
      </c>
      <c r="B51" t="inlineStr">
        <is>
          <t>kilder_skript</t>
        </is>
      </c>
      <c r="C51" t="inlineStr">
        <is>
          <t>Kilder</t>
        </is>
      </c>
      <c r="D51" t="inlineStr">
        <is>
          <t>C31</t>
        </is>
      </c>
    </row>
    <row r="52">
      <c r="A52" t="inlineStr">
        <is>
          <t>celle</t>
        </is>
      </c>
      <c r="B52" t="inlineStr">
        <is>
          <t>kilder_skriptversjon</t>
        </is>
      </c>
      <c r="C52" t="inlineStr">
        <is>
          <t>Kilder</t>
        </is>
      </c>
      <c r="D52" t="inlineStr">
        <is>
          <t>C32</t>
        </is>
      </c>
    </row>
    <row r="53">
      <c r="A53" t="inlineStr">
        <is>
          <t>celle</t>
        </is>
      </c>
      <c r="B53" t="inlineStr">
        <is>
          <t>kilder_tittel</t>
        </is>
      </c>
      <c r="C53" t="inlineStr">
        <is>
          <t>Kilder</t>
        </is>
      </c>
      <c r="D53" t="inlineStr">
        <is>
          <t>C8</t>
        </is>
      </c>
    </row>
    <row r="54">
      <c r="A54" t="inlineStr">
        <is>
          <t>celle</t>
        </is>
      </c>
      <c r="B54" t="inlineStr">
        <is>
          <t>kilder_url</t>
        </is>
      </c>
      <c r="C54" t="inlineStr">
        <is>
          <t>Kilder</t>
        </is>
      </c>
      <c r="D54" t="inlineStr">
        <is>
          <t>C9</t>
        </is>
      </c>
    </row>
    <row r="55">
      <c r="A55" t="inlineStr">
        <is>
          <t>celle</t>
        </is>
      </c>
      <c r="B55" t="inlineStr">
        <is>
          <t>kilder_utgave</t>
        </is>
      </c>
      <c r="C55" t="inlineStr">
        <is>
          <t>Kilder</t>
        </is>
      </c>
      <c r="D55" t="inlineStr">
        <is>
          <t>C7</t>
        </is>
      </c>
    </row>
    <row r="56">
      <c r="A56" t="inlineStr">
        <is>
          <t>celle</t>
        </is>
      </c>
      <c r="B56" t="inlineStr">
        <is>
          <t>resultat_merknad</t>
        </is>
      </c>
      <c r="C56" t="inlineStr">
        <is>
          <t>Resultat</t>
        </is>
      </c>
      <c r="D56" t="inlineStr">
        <is>
          <t>B11</t>
        </is>
      </c>
    </row>
    <row r="57">
      <c r="A57" t="inlineStr">
        <is>
          <t>celle</t>
        </is>
      </c>
      <c r="B57" t="inlineStr">
        <is>
          <t>resultat_overskrift</t>
        </is>
      </c>
      <c r="C57" t="inlineStr">
        <is>
          <t>Resultat</t>
        </is>
      </c>
      <c r="D57" t="inlineStr">
        <is>
          <t>B5</t>
        </is>
      </c>
    </row>
    <row r="58">
      <c r="A58" t="inlineStr">
        <is>
          <t>celle</t>
        </is>
      </c>
      <c r="B58" t="inlineStr">
        <is>
          <t>resultat_start</t>
        </is>
      </c>
      <c r="C58" t="inlineStr">
        <is>
          <t>Resultat</t>
        </is>
      </c>
      <c r="D58" t="inlineStr">
        <is>
          <t>B6</t>
        </is>
      </c>
    </row>
    <row r="59">
      <c r="A59" t="inlineStr">
        <is>
          <t>celle</t>
        </is>
      </c>
      <c r="B59" t="inlineStr">
        <is>
          <t>satser_lukket_ramme_start</t>
        </is>
      </c>
      <c r="C59" t="inlineStr">
        <is>
          <t>Satser</t>
        </is>
      </c>
      <c r="D59" t="inlineStr">
        <is>
          <t>B32</t>
        </is>
      </c>
    </row>
    <row r="60">
      <c r="A60" t="inlineStr">
        <is>
          <t>celle</t>
        </is>
      </c>
      <c r="B60" t="inlineStr">
        <is>
          <t>satser_lukket_ramme_tomtekst</t>
        </is>
      </c>
      <c r="C60" t="inlineStr">
        <is>
          <t>Satser</t>
        </is>
      </c>
      <c r="D60" t="inlineStr">
        <is>
          <t>B32</t>
        </is>
      </c>
    </row>
    <row r="61">
      <c r="A61" t="inlineStr">
        <is>
          <t>celle</t>
        </is>
      </c>
      <c r="B61" t="inlineStr">
        <is>
          <t>satser_merknad</t>
        </is>
      </c>
      <c r="C61" t="inlineStr">
        <is>
          <t>Satser</t>
        </is>
      </c>
      <c r="D61" t="inlineStr">
        <is>
          <t>B45</t>
        </is>
      </c>
    </row>
    <row r="62">
      <c r="A62" t="inlineStr">
        <is>
          <t>celle</t>
        </is>
      </c>
      <c r="B62" t="inlineStr">
        <is>
          <t>satser_open_ramme_start</t>
        </is>
      </c>
      <c r="C62" t="inlineStr">
        <is>
          <t>Satser</t>
        </is>
      </c>
      <c r="D62" t="inlineStr">
        <is>
          <t>B6</t>
        </is>
      </c>
    </row>
    <row r="63">
      <c r="A63" t="inlineStr">
        <is>
          <t>celle</t>
        </is>
      </c>
      <c r="B63" t="inlineStr">
        <is>
          <t>satser_open_ramme_tomtekst</t>
        </is>
      </c>
      <c r="C63" t="inlineStr">
        <is>
          <t>Satser</t>
        </is>
      </c>
      <c r="D63" t="inlineStr">
        <is>
          <t>B6</t>
        </is>
      </c>
    </row>
    <row r="64">
      <c r="A64" t="inlineStr">
        <is>
          <t>celle</t>
        </is>
      </c>
      <c r="B64" t="inlineStr">
        <is>
          <t>sektor_alle_overskrift</t>
        </is>
      </c>
      <c r="C64" t="inlineStr">
        <is>
          <t>Sektor</t>
        </is>
      </c>
      <c r="D64" t="inlineStr">
        <is>
          <t>B19</t>
        </is>
      </c>
    </row>
    <row r="65">
      <c r="A65" t="inlineStr">
        <is>
          <t>celle</t>
        </is>
      </c>
      <c r="B65" t="inlineStr">
        <is>
          <t>sektor_alle_start</t>
        </is>
      </c>
      <c r="C65" t="inlineStr">
        <is>
          <t>Sektor</t>
        </is>
      </c>
      <c r="D65" t="inlineStr">
        <is>
          <t>B20</t>
        </is>
      </c>
    </row>
    <row r="66">
      <c r="A66" t="inlineStr">
        <is>
          <t>celle</t>
        </is>
      </c>
      <c r="B66" t="inlineStr">
        <is>
          <t>sektor_universiteter_overskrift</t>
        </is>
      </c>
      <c r="C66" t="inlineStr">
        <is>
          <t>Sektor</t>
        </is>
      </c>
      <c r="D66" t="inlineStr">
        <is>
          <t>B6</t>
        </is>
      </c>
    </row>
    <row r="67">
      <c r="A67" t="inlineStr">
        <is>
          <t>celle</t>
        </is>
      </c>
      <c r="B67" t="inlineStr">
        <is>
          <t>sektor_universiteter_start</t>
        </is>
      </c>
      <c r="C67" t="inlineStr">
        <is>
          <t>Sektor</t>
        </is>
      </c>
      <c r="D67" t="inlineStr">
        <is>
          <t>B7</t>
        </is>
      </c>
    </row>
    <row r="68">
      <c r="A68" t="inlineStr">
        <is>
          <t>rad</t>
        </is>
      </c>
      <c r="B68" t="inlineStr">
        <is>
          <t>budsjettloep_nest_siste</t>
        </is>
      </c>
      <c r="C68" t="inlineStr"/>
      <c r="D68" t="n">
        <v>10</v>
      </c>
    </row>
    <row r="69">
      <c r="A69" t="inlineStr">
        <is>
          <t>rad</t>
        </is>
      </c>
      <c r="B69" t="inlineStr">
        <is>
          <t>budsjettloep_slutt</t>
        </is>
      </c>
      <c r="C69" t="inlineStr"/>
      <c r="D69" t="n">
        <v>11</v>
      </c>
    </row>
    <row r="70">
      <c r="A70" t="inlineStr">
        <is>
          <t>rad</t>
        </is>
      </c>
      <c r="B70" t="inlineStr">
        <is>
          <t>budsjettloep_start</t>
        </is>
      </c>
      <c r="C70" t="inlineStr"/>
      <c r="D70" t="n">
        <v>6</v>
      </c>
    </row>
    <row r="71">
      <c r="A71" t="inlineStr">
        <is>
          <t>rad</t>
        </is>
      </c>
      <c r="B71" t="inlineStr">
        <is>
          <t>hovedposter_kontroll</t>
        </is>
      </c>
      <c r="C71" t="inlineStr"/>
      <c r="D71" t="n">
        <v>20</v>
      </c>
    </row>
    <row r="72">
      <c r="A72" t="inlineStr">
        <is>
          <t>rad</t>
        </is>
      </c>
      <c r="B72" t="inlineStr">
        <is>
          <t>hovedposter_nest_siste</t>
        </is>
      </c>
      <c r="C72" t="inlineStr"/>
      <c r="D72" t="n">
        <v>17</v>
      </c>
    </row>
    <row r="73">
      <c r="A73" t="inlineStr">
        <is>
          <t>rad</t>
        </is>
      </c>
      <c r="B73" t="inlineStr">
        <is>
          <t>hovedposter_rnb_slutt</t>
        </is>
      </c>
      <c r="C73" t="inlineStr"/>
      <c r="D73" t="n">
        <v>26</v>
      </c>
    </row>
    <row r="74">
      <c r="A74" t="inlineStr">
        <is>
          <t>rad</t>
        </is>
      </c>
      <c r="B74" t="inlineStr">
        <is>
          <t>hovedposter_rnb_start</t>
        </is>
      </c>
      <c r="C74" t="inlineStr"/>
      <c r="D74" t="n">
        <v>23</v>
      </c>
    </row>
    <row r="75">
      <c r="A75" t="inlineStr">
        <is>
          <t>rad</t>
        </is>
      </c>
      <c r="B75" t="inlineStr">
        <is>
          <t>hovedposter_slutt</t>
        </is>
      </c>
      <c r="C75" t="inlineStr"/>
      <c r="D75" t="n">
        <v>18</v>
      </c>
    </row>
    <row r="76">
      <c r="A76" t="inlineStr">
        <is>
          <t>rad</t>
        </is>
      </c>
      <c r="B76" t="inlineStr">
        <is>
          <t>hovedposter_start</t>
        </is>
      </c>
      <c r="C76" t="inlineStr"/>
      <c r="D76" t="n">
        <v>6</v>
      </c>
    </row>
    <row r="77">
      <c r="A77" t="inlineStr">
        <is>
          <t>rad</t>
        </is>
      </c>
      <c r="B77" t="inlineStr">
        <is>
          <t>hovedposter_sum</t>
        </is>
      </c>
      <c r="C77" t="inlineStr"/>
      <c r="D77" t="n">
        <v>19</v>
      </c>
    </row>
    <row r="78">
      <c r="A78" t="inlineStr">
        <is>
          <t>rad</t>
        </is>
      </c>
      <c r="B78" t="inlineStr">
        <is>
          <t>hovedtall_hoveddel_slutt</t>
        </is>
      </c>
      <c r="C78" t="inlineStr"/>
      <c r="D78" t="n">
        <v>12</v>
      </c>
    </row>
    <row r="79">
      <c r="A79" t="inlineStr">
        <is>
          <t>rad</t>
        </is>
      </c>
      <c r="B79" t="inlineStr">
        <is>
          <t>hovedtall_hoveddel_start</t>
        </is>
      </c>
      <c r="C79" t="inlineStr"/>
      <c r="D79" t="n">
        <v>6</v>
      </c>
    </row>
    <row r="80">
      <c r="A80" t="inlineStr">
        <is>
          <t>rad</t>
        </is>
      </c>
      <c r="B80" t="inlineStr">
        <is>
          <t>hovedtall_kontroll_slutt</t>
        </is>
      </c>
      <c r="C80" t="inlineStr"/>
      <c r="D80" t="n">
        <v>23</v>
      </c>
    </row>
    <row r="81">
      <c r="A81" t="inlineStr">
        <is>
          <t>rad</t>
        </is>
      </c>
      <c r="B81" t="inlineStr">
        <is>
          <t>hovedtall_kontroll_start</t>
        </is>
      </c>
      <c r="C81" t="inlineStr"/>
      <c r="D81" t="n">
        <v>15</v>
      </c>
    </row>
    <row r="82">
      <c r="A82" t="inlineStr">
        <is>
          <t>rad</t>
        </is>
      </c>
      <c r="B82" t="inlineStr">
        <is>
          <t>kilder_dokument_slutt</t>
        </is>
      </c>
      <c r="C82" t="inlineStr"/>
      <c r="D82" t="n">
        <v>14</v>
      </c>
    </row>
    <row r="83">
      <c r="A83" t="inlineStr">
        <is>
          <t>rad</t>
        </is>
      </c>
      <c r="B83" t="inlineStr">
        <is>
          <t>kilder_dokument_start</t>
        </is>
      </c>
      <c r="C83" t="inlineStr"/>
      <c r="D83" t="n">
        <v>6</v>
      </c>
    </row>
    <row r="84">
      <c r="A84" t="inlineStr">
        <is>
          <t>rad</t>
        </is>
      </c>
      <c r="B84" t="inlineStr">
        <is>
          <t>kilder_kontroll_slutt</t>
        </is>
      </c>
      <c r="C84" t="inlineStr"/>
      <c r="D84" t="n">
        <v>34</v>
      </c>
    </row>
    <row r="85">
      <c r="A85" t="inlineStr">
        <is>
          <t>rad</t>
        </is>
      </c>
      <c r="B85" t="inlineStr">
        <is>
          <t>kilder_kontroll_start</t>
        </is>
      </c>
      <c r="C85" t="inlineStr"/>
      <c r="D85" t="n">
        <v>26</v>
      </c>
    </row>
    <row r="86">
      <c r="A86" t="inlineStr">
        <is>
          <t>rad</t>
        </is>
      </c>
      <c r="B86" t="inlineStr">
        <is>
          <t>kilder_tabellsider_slutt</t>
        </is>
      </c>
      <c r="C86" t="inlineStr"/>
      <c r="D86" t="n">
        <v>23</v>
      </c>
    </row>
    <row r="87">
      <c r="A87" t="inlineStr">
        <is>
          <t>rad</t>
        </is>
      </c>
      <c r="B87" t="inlineStr">
        <is>
          <t>kilder_tabellsider_start</t>
        </is>
      </c>
      <c r="C87" t="inlineStr"/>
      <c r="D87" t="n">
        <v>17</v>
      </c>
    </row>
    <row r="88">
      <c r="A88" t="inlineStr">
        <is>
          <t>rad</t>
        </is>
      </c>
      <c r="B88" t="inlineStr">
        <is>
          <t>resultat_nest_siste</t>
        </is>
      </c>
      <c r="C88" t="inlineStr"/>
      <c r="D88" t="n">
        <v>8</v>
      </c>
    </row>
    <row r="89">
      <c r="A89" t="inlineStr">
        <is>
          <t>rad</t>
        </is>
      </c>
      <c r="B89" t="inlineStr">
        <is>
          <t>resultat_slutt</t>
        </is>
      </c>
      <c r="C89" t="inlineStr"/>
      <c r="D89" t="n">
        <v>9</v>
      </c>
    </row>
    <row r="90">
      <c r="A90" t="inlineStr">
        <is>
          <t>rad</t>
        </is>
      </c>
      <c r="B90" t="inlineStr">
        <is>
          <t>resultat_start</t>
        </is>
      </c>
      <c r="C90" t="inlineStr"/>
      <c r="D90" t="n">
        <v>6</v>
      </c>
    </row>
    <row r="91">
      <c r="A91" t="inlineStr">
        <is>
          <t>rad</t>
        </is>
      </c>
      <c r="B91" t="inlineStr">
        <is>
          <t>satser_lukket_ramme_slutt</t>
        </is>
      </c>
      <c r="C91" t="inlineStr"/>
      <c r="D91" t="n">
        <v>43</v>
      </c>
    </row>
    <row r="92">
      <c r="A92" t="inlineStr">
        <is>
          <t>rad</t>
        </is>
      </c>
      <c r="B92" t="inlineStr">
        <is>
          <t>satser_lukket_ramme_start</t>
        </is>
      </c>
      <c r="C92" t="inlineStr"/>
      <c r="D92" t="n">
        <v>32</v>
      </c>
    </row>
    <row r="93">
      <c r="A93" t="inlineStr">
        <is>
          <t>rad</t>
        </is>
      </c>
      <c r="B93" t="inlineStr">
        <is>
          <t>satser_open_ramme_slutt</t>
        </is>
      </c>
      <c r="C93" t="inlineStr"/>
      <c r="D93" t="n">
        <v>29</v>
      </c>
    </row>
    <row r="94">
      <c r="A94" t="inlineStr">
        <is>
          <t>rad</t>
        </is>
      </c>
      <c r="B94" t="inlineStr">
        <is>
          <t>satser_open_ramme_start</t>
        </is>
      </c>
      <c r="C94" t="inlineStr"/>
      <c r="D94" t="n">
        <v>6</v>
      </c>
    </row>
    <row r="95">
      <c r="A95" t="inlineStr">
        <is>
          <t>rad</t>
        </is>
      </c>
      <c r="B95" t="inlineStr">
        <is>
          <t>sektor_alle_nest_siste</t>
        </is>
      </c>
      <c r="C95" t="inlineStr"/>
      <c r="D95" t="n">
        <v>39</v>
      </c>
    </row>
    <row r="96">
      <c r="A96" t="inlineStr">
        <is>
          <t>rad</t>
        </is>
      </c>
      <c r="B96" t="inlineStr">
        <is>
          <t>sektor_alle_slutt</t>
        </is>
      </c>
      <c r="C96" t="inlineStr"/>
      <c r="D96" t="n">
        <v>40</v>
      </c>
    </row>
    <row r="97">
      <c r="A97" t="inlineStr">
        <is>
          <t>rad</t>
        </is>
      </c>
      <c r="B97" t="inlineStr">
        <is>
          <t>sektor_alle_start</t>
        </is>
      </c>
      <c r="C97" t="inlineStr"/>
      <c r="D97" t="n">
        <v>20</v>
      </c>
    </row>
    <row r="98">
      <c r="A98" t="inlineStr">
        <is>
          <t>rad</t>
        </is>
      </c>
      <c r="B98" t="inlineStr">
        <is>
          <t>sektor_universiteter_nest_siste</t>
        </is>
      </c>
      <c r="C98" t="inlineStr"/>
      <c r="D98" t="n">
        <v>15</v>
      </c>
    </row>
    <row r="99">
      <c r="A99" t="inlineStr">
        <is>
          <t>rad</t>
        </is>
      </c>
      <c r="B99" t="inlineStr">
        <is>
          <t>sektor_universiteter_slutt</t>
        </is>
      </c>
      <c r="C99" t="inlineStr"/>
      <c r="D99" t="n">
        <v>16</v>
      </c>
    </row>
    <row r="100">
      <c r="A100" t="inlineStr">
        <is>
          <t>rad</t>
        </is>
      </c>
      <c r="B100" t="inlineStr">
        <is>
          <t>sektor_universiteter_start</t>
        </is>
      </c>
      <c r="C100" t="inlineStr"/>
      <c r="D1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2026-09-16T11:25:15Z</dcterms:created>
  <dcterms:modified xmlns:dcterms="http://purl.org/dc/terms/" xmlns:xsi="http://www.w3.org/2001/XMLSchema-instance" xsi:type="dcterms:W3CDTF">2026-09-16T11:25:15Z</dcterms:modified>
</cp:coreProperties>
</file>